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E19EFD02-5305-4B59-9016-CA3BC99AF7C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ventory Tracker" sheetId="1" r:id="rId1"/>
    <sheet name="Dashboard" sheetId="2" r:id="rId2"/>
  </sheets>
  <definedNames>
    <definedName name="REORDERLEVELTABLE">'Inventory Tracker'!$A$12:$B$15</definedName>
    <definedName name="stockin">'Inventory Tracker'!$D:$D</definedName>
    <definedName name="stockout">'Inventory Tracker'!$E:$E</definedName>
    <definedName name="TRACKERTABLE">'Inventory Tracker'!$A$2:$H$8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B9" i="2"/>
  <c r="B8" i="2"/>
  <c r="B7" i="2"/>
  <c r="B4" i="2"/>
  <c r="G8" i="1"/>
  <c r="G7" i="1"/>
  <c r="G6" i="1"/>
  <c r="G5" i="1"/>
  <c r="G3" i="1"/>
  <c r="F6" i="1"/>
  <c r="G4" i="1"/>
  <c r="J2" i="1" a="1"/>
  <c r="J2" i="1"/>
  <c r="K2" i="1" a="1"/>
  <c r="K2" i="1"/>
  <c r="F3" i="1"/>
  <c r="F4" i="1"/>
  <c r="H4" i="1" s="1"/>
  <c r="F5" i="1"/>
  <c r="H5" i="1" s="1"/>
  <c r="H6" i="1"/>
  <c r="F7" i="1"/>
  <c r="H7" i="1" s="1"/>
  <c r="F8" i="1"/>
  <c r="H8" i="1" s="1"/>
  <c r="B2" i="2" l="1"/>
  <c r="H3" i="1"/>
  <c r="H9" i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<sst xmlns="http://schemas.openxmlformats.org/spreadsheetml/2006/main" count="55" uniqueCount="37">
  <si>
    <t>INVENTORY TRACKER</t>
  </si>
  <si>
    <t>Item Name</t>
  </si>
  <si>
    <t>Category</t>
  </si>
  <si>
    <t>Supplier</t>
  </si>
  <si>
    <t>Stock In</t>
  </si>
  <si>
    <t>Stock Out</t>
  </si>
  <si>
    <t>Current Stock</t>
  </si>
  <si>
    <t>Reorder Level</t>
  </si>
  <si>
    <t>Status</t>
  </si>
  <si>
    <t>Brake Pads</t>
  </si>
  <si>
    <t>Auto Parts</t>
  </si>
  <si>
    <t>AutoZone</t>
  </si>
  <si>
    <t>Engine Oil 5W‑30</t>
  </si>
  <si>
    <t>Fluids</t>
  </si>
  <si>
    <t>Shell</t>
  </si>
  <si>
    <t>Air Filter</t>
  </si>
  <si>
    <t>Accessories</t>
  </si>
  <si>
    <t>NAPA</t>
  </si>
  <si>
    <t>Wiper Blades</t>
  </si>
  <si>
    <t>Bosch</t>
  </si>
  <si>
    <t>Coolant Bottle</t>
  </si>
  <si>
    <t>Valvoline</t>
  </si>
  <si>
    <t>Spark Plugs</t>
  </si>
  <si>
    <t>NGK</t>
  </si>
  <si>
    <t>counter Rollre</t>
  </si>
  <si>
    <t>Accutech</t>
  </si>
  <si>
    <t>REORDERLEVEL TABLE</t>
  </si>
  <si>
    <t>TOTAL  STOCK</t>
  </si>
  <si>
    <t>LOW STOCK COUNT</t>
  </si>
  <si>
    <t>TOTAL ITEMS</t>
  </si>
  <si>
    <t>PARTS CATEGORIES</t>
  </si>
  <si>
    <t>AUTO PARTS</t>
  </si>
  <si>
    <t>FLUIDS</t>
  </si>
  <si>
    <t>ACCESSORIES</t>
  </si>
  <si>
    <t xml:space="preserve">SUPPLIER </t>
  </si>
  <si>
    <t>PartsCount</t>
  </si>
  <si>
    <t>lOW STOCK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</si>
</sst>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3" xfId="0" applyFont="1" applyFill="1" applyBorder="1"/>
    <xf numFmtId="0" fontId="0" fillId="3" borderId="3" xfId="0" applyFont="1" applyFill="1" applyBorder="1" applyAlignment="1">
      <alignment wrapText="1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6-4F3D-8F44-2F296732F0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F6-4F3D-8F44-2F296732F0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F6-4F3D-8F44-2F296732F0EF}"/>
              </c:ext>
            </c:extLst>
          </c:dPt>
          <c:cat>
            <c:strRef>
              <c:f>Dashboard!$A$7:$A$9</c:f>
              <c:strCache>
                <c:ptCount val="3"/>
                <c:pt idx="0">
                  <c:v>AUTO PARTS</c:v>
                </c:pt>
                <c:pt idx="1">
                  <c:v>FLUIDS</c:v>
                </c:pt>
                <c:pt idx="2">
                  <c:v>ACCESSORIES</c:v>
                </c:pt>
              </c:strCache>
            </c:strRef>
          </c:cat>
          <c:val>
            <c:numRef>
              <c:f>Dashboard!$B$7:$B$9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C-40E3-98A6-3930E6621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PartsCountPerSupplier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PartsCount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Dashboard!$A$17:$A$22</c:f>
              <c:strCache>
                <c:ptCount val="6"/>
                <c:pt idx="0">
                  <c:v>AutoZone</c:v>
                </c:pt>
                <c:pt idx="1">
                  <c:v>Bosch</c:v>
                </c:pt>
                <c:pt idx="2">
                  <c:v>NAPA</c:v>
                </c:pt>
                <c:pt idx="3">
                  <c:v>NGK</c:v>
                </c:pt>
                <c:pt idx="4">
                  <c:v>Shell</c:v>
                </c:pt>
                <c:pt idx="5">
                  <c:v>Valvoline</c:v>
                </c:pt>
              </c:strCache>
            </c:strRef>
          </c:cat>
          <c:val>
            <c:numRef>
              <c:f>Dashboard!$B$17:$B$22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2-4397-8A46-CAE258DB4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010888"/>
        <c:axId val="251936263"/>
      </c:barChart>
      <c:catAx>
        <c:axId val="172601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936263"/>
        <c:crosses val="autoZero"/>
        <c:auto val="1"/>
        <c:lblAlgn val="ctr"/>
        <c:lblOffset val="100"/>
        <c:noMultiLvlLbl val="0"/>
      </c:catAx>
      <c:valAx>
        <c:axId val="25193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1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47625</xdr:rowOff>
    </xdr:from>
    <xdr:to>
      <xdr:col>7</xdr:col>
      <xdr:colOff>419100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495DD-69A4-23DF-800C-7CF016BFB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581025</xdr:colOff>
      <xdr:row>13</xdr:row>
      <xdr:rowOff>142875</xdr:rowOff>
    </xdr:from>
    <xdr:to>
      <xdr:col>7</xdr:col>
      <xdr:colOff>371475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81A172-3CA6-3909-A973-4CECC59CA098}"/>
            </a:ext>
            <a:ext uri="{147F2762-F138-4A5C-976F-8EAC2B608ADB}">
              <a16:predDERef xmlns:a16="http://schemas.microsoft.com/office/drawing/2014/main" pred="{28A495DD-69A4-23DF-800C-7CF016BFB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AE058-9F8B-4010-BE9A-F13FA946894C}" name="INVENTORY" displayName="INVENTORY" ref="A2:H9" insertRowShift="1" totalsRowShown="0">
  <autoFilter ref="A2:H9" xr:uid="{C78AE058-9F8B-4010-BE9A-F13FA94689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8BEA5D5-56D6-41D0-9D65-21DCCD2DC78E}" name="Item Name"/>
    <tableColumn id="2" xr3:uid="{86DFE7DD-246E-4515-9119-C9D7F762C1EB}" name="Category"/>
    <tableColumn id="3" xr3:uid="{EFB2BD0D-9BBA-4476-8F8D-1A0A4119E1E4}" name="Supplier"/>
    <tableColumn id="4" xr3:uid="{6DB7FEA2-9992-4BA7-BAF6-FD16954C178E}" name="Stock In"/>
    <tableColumn id="5" xr3:uid="{58BA4F8A-1BC1-479E-B3A0-304F334521E4}" name="Stock Out"/>
    <tableColumn id="6" xr3:uid="{68AA96A4-8B4E-41B9-9597-26DCA2BF16C1}" name="Current Stock" dataDxfId="5">
      <calculatedColumnFormula>INVENTORY[[#This Row],[Stock In]] - INVENTORY[[#This Row],[Stock Out]]</calculatedColumnFormula>
    </tableColumn>
    <tableColumn id="7" xr3:uid="{491DF73D-2BAE-434E-B781-337834600884}" name="Reorder Level" dataDxfId="4">
      <calculatedColumnFormula>INDEX(G3:G9, MATCH(B3, B3:B9, 0))</calculatedColumnFormula>
    </tableColumn>
    <tableColumn id="8" xr3:uid="{F6101897-A0C8-4FBC-9C92-541F8D51453D}" name="Status" dataDxfId="3">
      <calculatedColumnFormula>IF(F3 &lt;= G3, "LOWSTOCK","OK")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069D17-E82B-40EC-B647-3537A37698A4}" name="Table3" displayName="Table3" ref="A12:B15" totalsRowShown="0" headerRowDxfId="2">
  <autoFilter ref="A12:B15" xr:uid="{DB069D17-E82B-40EC-B647-3537A37698A4}"/>
  <tableColumns count="2">
    <tableColumn id="1" xr3:uid="{B76F314D-C8AF-4E96-B583-A05238FFB53C}" name="Category"/>
    <tableColumn id="2" xr3:uid="{C726830E-9CEF-4F31-BE97-D540C51B29EB}" name="Reorder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6E9F64-6473-432B-9906-411910FFE215}" name="Table5" displayName="Table5" ref="A7:B9" headerRowCount="0" totalsRowShown="0" tableBorderDxfId="1">
  <tableColumns count="2">
    <tableColumn id="1" xr3:uid="{26FC472B-F4B2-444D-BB91-F8328920DCB0}" name="Column1" dataDxfId="0"/>
    <tableColumn id="2" xr3:uid="{61977DBD-AD4B-4C5A-B9A4-F6EA110EE7FF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5C48F8-527D-4865-80BF-B1A699D136F8}" name="Table12" displayName="Table12" ref="A16:B22" totalsRowShown="0">
  <autoFilter ref="A16:B22" xr:uid="{245C48F8-527D-4865-80BF-B1A699D136F8}">
    <filterColumn colId="0" hiddenButton="1"/>
    <filterColumn colId="1" hiddenButton="1"/>
  </autoFilter>
  <tableColumns count="2">
    <tableColumn id="1" xr3:uid="{0DF0B71E-6E1E-4882-9FE0-A534D994DFAF}" name="SUPPLIER "/>
    <tableColumn id="2" xr3:uid="{2463EF1F-943A-4099-A7D5-BCB9027021BC}" name="Part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F14" sqref="F14"/>
    </sheetView>
  </sheetViews>
  <sheetFormatPr defaultRowHeight="15"/>
  <cols>
    <col min="1" max="1" width="20.140625" bestFit="1" customWidth="1"/>
    <col min="2" max="2" width="19.7109375" customWidth="1"/>
    <col min="3" max="3" width="10.5703125" bestFit="1" customWidth="1"/>
    <col min="4" max="4" width="10.140625" bestFit="1" customWidth="1"/>
    <col min="5" max="5" width="11.85546875" bestFit="1" customWidth="1"/>
    <col min="6" max="6" width="28" bestFit="1" customWidth="1"/>
    <col min="7" max="7" width="18.140625" customWidth="1"/>
    <col min="8" max="8" width="15.85546875" customWidth="1"/>
    <col min="11" max="11" width="10.85546875" bestFit="1" customWidth="1"/>
  </cols>
  <sheetData>
    <row r="1" spans="1:11" ht="26.25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J2" t="str" cm="1">
        <f t="array" ref="J2:J8">_xlfn._xlws.SORT(_xlfn.UNIQUE(INVENTORY[Supplier]))</f>
        <v>Accutech</v>
      </c>
      <c r="K2" t="str" cm="1">
        <f t="array" ref="K2:K4">_xlfn.UNIQUE(INVENTORY[Category])</f>
        <v>Auto Parts</v>
      </c>
    </row>
    <row r="3" spans="1:11" ht="13.5" customHeight="1">
      <c r="A3" t="s">
        <v>9</v>
      </c>
      <c r="B3" t="s">
        <v>10</v>
      </c>
      <c r="C3" t="s">
        <v>11</v>
      </c>
      <c r="D3">
        <v>50</v>
      </c>
      <c r="E3">
        <v>10</v>
      </c>
      <c r="F3">
        <f>INVENTORY[[#This Row],[Stock In]] - INVENTORY[[#This Row],[Stock Out]]</f>
        <v>40</v>
      </c>
      <c r="G3" s="2">
        <f>INDEX($B$13:$B$15, MATCH(B3, $A$13:$A$15, 0))</f>
        <v>20</v>
      </c>
      <c r="H3" s="2" t="str">
        <f>IF(F3 &lt;= G3, "LOWSTOCK","OK")</f>
        <v>OK</v>
      </c>
      <c r="J3" t="str">
        <v>AutoZone</v>
      </c>
      <c r="K3" t="str">
        <v>Fluids</v>
      </c>
    </row>
    <row r="4" spans="1:11">
      <c r="A4" t="s">
        <v>12</v>
      </c>
      <c r="B4" t="s">
        <v>13</v>
      </c>
      <c r="C4" t="s">
        <v>14</v>
      </c>
      <c r="D4">
        <v>100</v>
      </c>
      <c r="E4">
        <v>30</v>
      </c>
      <c r="F4">
        <f>INVENTORY[[#This Row],[Stock In]] - INVENTORY[[#This Row],[Stock Out]]</f>
        <v>70</v>
      </c>
      <c r="G4" s="2">
        <f>INDEX($B$13:$B$15, MATCH(B4, $A$13:$A$15, 0))</f>
        <v>10</v>
      </c>
      <c r="H4" s="2" t="str">
        <f t="shared" ref="H4:H8" si="0">IF(F4 &lt;= G4, "LOWSTOCK","OK")</f>
        <v>OK</v>
      </c>
      <c r="J4" t="str">
        <v>Bosch</v>
      </c>
      <c r="K4" t="str">
        <v>Accessories</v>
      </c>
    </row>
    <row r="5" spans="1:11">
      <c r="A5" t="s">
        <v>15</v>
      </c>
      <c r="B5" t="s">
        <v>16</v>
      </c>
      <c r="C5" t="s">
        <v>17</v>
      </c>
      <c r="D5">
        <v>40</v>
      </c>
      <c r="E5">
        <v>15</v>
      </c>
      <c r="F5">
        <f>INVENTORY[[#This Row],[Stock In]] - INVENTORY[[#This Row],[Stock Out]]</f>
        <v>25</v>
      </c>
      <c r="G5" s="2">
        <f>INDEX($B$13:$B$15, MATCH(B5, $A$13:$A$15, 0))</f>
        <v>5</v>
      </c>
      <c r="H5" s="2" t="str">
        <f t="shared" si="0"/>
        <v>OK</v>
      </c>
      <c r="J5" t="str">
        <v>NAPA</v>
      </c>
      <c r="K5" t="s">
        <v>10</v>
      </c>
    </row>
    <row r="6" spans="1:11">
      <c r="A6" t="s">
        <v>18</v>
      </c>
      <c r="B6" t="s">
        <v>10</v>
      </c>
      <c r="C6" t="s">
        <v>19</v>
      </c>
      <c r="D6">
        <v>60</v>
      </c>
      <c r="E6">
        <v>50</v>
      </c>
      <c r="F6">
        <f>INVENTORY[[#This Row],[Stock In]] - INVENTORY[[#This Row],[Stock Out]]</f>
        <v>10</v>
      </c>
      <c r="G6" s="2">
        <f>INDEX($B$13:$B$15, MATCH(B6, $A$13:$A$15, 0))</f>
        <v>20</v>
      </c>
      <c r="H6" s="2" t="str">
        <f t="shared" si="0"/>
        <v>LOWSTOCK</v>
      </c>
      <c r="J6" t="str">
        <v>NGK</v>
      </c>
      <c r="K6" t="s">
        <v>13</v>
      </c>
    </row>
    <row r="7" spans="1:11">
      <c r="A7" t="s">
        <v>20</v>
      </c>
      <c r="B7" t="s">
        <v>13</v>
      </c>
      <c r="C7" t="s">
        <v>21</v>
      </c>
      <c r="D7">
        <v>30</v>
      </c>
      <c r="E7">
        <v>5</v>
      </c>
      <c r="F7">
        <f>INVENTORY[[#This Row],[Stock In]] - INVENTORY[[#This Row],[Stock Out]]</f>
        <v>25</v>
      </c>
      <c r="G7" s="2">
        <f>INDEX($B$13:$B$15, MATCH(B7, $A$13:$A$15, 0))</f>
        <v>10</v>
      </c>
      <c r="H7" s="2" t="str">
        <f t="shared" si="0"/>
        <v>OK</v>
      </c>
      <c r="J7" t="str">
        <v>Shell</v>
      </c>
      <c r="K7" t="s">
        <v>16</v>
      </c>
    </row>
    <row r="8" spans="1:11">
      <c r="A8" t="s">
        <v>22</v>
      </c>
      <c r="B8" t="s">
        <v>16</v>
      </c>
      <c r="C8" t="s">
        <v>23</v>
      </c>
      <c r="D8">
        <v>100</v>
      </c>
      <c r="E8">
        <v>70</v>
      </c>
      <c r="F8">
        <f>INVENTORY[[#This Row],[Stock In]] - INVENTORY[[#This Row],[Stock Out]]</f>
        <v>30</v>
      </c>
      <c r="G8" s="2">
        <f>INDEX($B$13:$B$15, MATCH(B8, $A$13:$A$15, 0))</f>
        <v>5</v>
      </c>
      <c r="H8" s="2" t="str">
        <f t="shared" si="0"/>
        <v>OK</v>
      </c>
      <c r="J8" t="str">
        <v>Valvoline</v>
      </c>
    </row>
    <row r="9" spans="1:11">
      <c r="A9" t="s">
        <v>24</v>
      </c>
      <c r="B9" t="s">
        <v>10</v>
      </c>
      <c r="C9" t="s">
        <v>25</v>
      </c>
      <c r="D9">
        <v>50</v>
      </c>
      <c r="E9">
        <v>20</v>
      </c>
      <c r="F9" s="7">
        <f>INVENTORY[[#This Row],[Stock In]] - INVENTORY[[#This Row],[Stock Out]]</f>
        <v>30</v>
      </c>
      <c r="G9" s="7">
        <f>INDEX($B13:$B$15, MATCH(B9, $A$13:$A$15, 0))</f>
        <v>20</v>
      </c>
      <c r="H9" s="7" t="str">
        <f>IF(F9 &lt;= G9, "LOWSTOCK","OK")</f>
        <v>OK</v>
      </c>
    </row>
    <row r="11" spans="1:11" ht="18.75">
      <c r="A11" s="8" t="s">
        <v>26</v>
      </c>
      <c r="B11" s="8"/>
    </row>
    <row r="12" spans="1:11">
      <c r="A12" s="1" t="s">
        <v>2</v>
      </c>
      <c r="B12" s="1" t="s">
        <v>7</v>
      </c>
    </row>
    <row r="13" spans="1:11">
      <c r="A13" t="s">
        <v>10</v>
      </c>
      <c r="B13">
        <v>20</v>
      </c>
    </row>
    <row r="14" spans="1:11">
      <c r="A14" t="s">
        <v>13</v>
      </c>
      <c r="B14">
        <v>10</v>
      </c>
    </row>
    <row r="15" spans="1:11">
      <c r="A15" t="s">
        <v>16</v>
      </c>
      <c r="B15">
        <v>5</v>
      </c>
    </row>
  </sheetData>
  <mergeCells count="2">
    <mergeCell ref="A11:B11"/>
    <mergeCell ref="A1:H1"/>
  </mergeCells>
  <conditionalFormatting sqref="A3:H9">
    <cfRule type="expression" dxfId="6" priority="1">
      <formula>$F3 &lt;= $G3</formula>
    </cfRule>
  </conditionalFormatting>
  <dataValidations count="4">
    <dataValidation allowBlank="1" showInputMessage="1" showErrorMessage="1" sqref="A2:B2" xr:uid="{E28F883E-8527-40F9-B8DF-ADE61475B993}"/>
    <dataValidation type="list" allowBlank="1" showInputMessage="1" showErrorMessage="1" sqref="K2:K4" xr:uid="{1797FF0F-010E-49CC-B031-921BD69C06A3}">
      <formula1>$K$2:$K$4</formula1>
    </dataValidation>
    <dataValidation type="list" allowBlank="1" showInputMessage="1" showErrorMessage="1" sqref="B3:B9" xr:uid="{C5869F27-D88C-44FC-B8C1-19326D959B02}">
      <formula1>$K$5:$K$7</formula1>
    </dataValidation>
    <dataValidation type="list" allowBlank="1" showInputMessage="1" showErrorMessage="1" sqref="C2" xr:uid="{0E3C2F00-873A-416D-96D1-87DE5298934A}">
      <formula1>$J$2:$J$7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B10D-8CA5-42FC-903A-032A770C0918}">
  <dimension ref="A2:E27"/>
  <sheetViews>
    <sheetView tabSelected="1" workbookViewId="0">
      <selection activeCell="C39" sqref="C39"/>
    </sheetView>
  </sheetViews>
  <sheetFormatPr defaultRowHeight="15"/>
  <cols>
    <col min="1" max="1" width="33.85546875" bestFit="1" customWidth="1"/>
    <col min="2" max="2" width="36.5703125" bestFit="1" customWidth="1"/>
    <col min="7" max="7" width="33.85546875" bestFit="1" customWidth="1"/>
  </cols>
  <sheetData>
    <row r="2" spans="1:5">
      <c r="A2" t="s">
        <v>27</v>
      </c>
      <c r="B2">
        <f>SUM(INVENTORY[Current Stock])</f>
        <v>230</v>
      </c>
    </row>
    <row r="3" spans="1:5">
      <c r="A3" t="s">
        <v>28</v>
      </c>
      <c r="B3">
        <f>COUNTIF(INVENTORY[Status],"LOWSTOCK")</f>
        <v>1</v>
      </c>
    </row>
    <row r="4" spans="1:5">
      <c r="A4" t="s">
        <v>29</v>
      </c>
      <c r="B4">
        <f>COUNTA(INVENTORY[Item Name])</f>
        <v>7</v>
      </c>
    </row>
    <row r="6" spans="1:5" ht="18.75">
      <c r="A6" s="3" t="s">
        <v>30</v>
      </c>
      <c r="B6" s="4"/>
    </row>
    <row r="7" spans="1:5">
      <c r="A7" s="5" t="s">
        <v>31</v>
      </c>
      <c r="B7" s="6">
        <f>COUNTIF(INVENTORY[Category],"Auto parts")</f>
        <v>3</v>
      </c>
    </row>
    <row r="8" spans="1:5">
      <c r="A8" s="5" t="s">
        <v>32</v>
      </c>
      <c r="B8" s="5">
        <f>COUNTIF(INVENTORY[Category],"Fluids")</f>
        <v>2</v>
      </c>
    </row>
    <row r="9" spans="1:5">
      <c r="A9" s="5" t="s">
        <v>33</v>
      </c>
      <c r="B9" s="5">
        <f>COUNTIF(INVENTORY[Category],"Accessories")</f>
        <v>2</v>
      </c>
    </row>
    <row r="11" spans="1:5">
      <c r="E11" s="2"/>
    </row>
    <row r="16" spans="1:5">
      <c r="A16" t="s">
        <v>34</v>
      </c>
      <c r="B16" t="s">
        <v>35</v>
      </c>
    </row>
    <row r="17" spans="1:2">
      <c r="A17" t="s">
        <v>11</v>
      </c>
      <c r="B17">
        <v>1</v>
      </c>
    </row>
    <row r="18" spans="1:2">
      <c r="A18" t="s">
        <v>19</v>
      </c>
      <c r="B18">
        <v>1</v>
      </c>
    </row>
    <row r="19" spans="1:2">
      <c r="A19" t="s">
        <v>17</v>
      </c>
      <c r="B19">
        <v>1</v>
      </c>
    </row>
    <row r="20" spans="1:2">
      <c r="A20" t="s">
        <v>23</v>
      </c>
      <c r="B20">
        <v>1</v>
      </c>
    </row>
    <row r="21" spans="1:2">
      <c r="A21" t="s">
        <v>14</v>
      </c>
      <c r="B21">
        <v>1</v>
      </c>
    </row>
    <row r="22" spans="1:2">
      <c r="A22" t="s">
        <v>21</v>
      </c>
      <c r="B22">
        <v>1</v>
      </c>
    </row>
    <row r="27" spans="1:2">
      <c r="A27" t="s">
        <v>36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2026-05-26T14:05:52Z</dcterms:created>
  <dcterms:modified xsi:type="dcterms:W3CDTF">2026-05-28T16:16:19Z</dcterms:modified>
  <cp:category/>
  <cp:contentStatus/>
</cp:coreProperties>
</file>